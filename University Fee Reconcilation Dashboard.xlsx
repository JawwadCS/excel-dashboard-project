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activeTab="4"/>
  </bookViews>
  <sheets>
    <sheet name="Dashboard" sheetId="13" r:id="rId1"/>
    <sheet name="Status_Pivot" sheetId="6" r:id="rId2"/>
    <sheet name="Bucket_Pivot" sheetId="9" r:id="rId3"/>
    <sheet name="Monthly_Pivot" sheetId="10" r:id="rId4"/>
    <sheet name="cc1" sheetId="1" r:id="rId5"/>
    <sheet name="internal" sheetId="2" r:id="rId6"/>
  </sheets>
  <definedNames>
    <definedName name="Slicer_amount">#N/A</definedName>
    <definedName name="Slicer_Bucket">#N/A</definedName>
    <definedName name="Slicer_Month">#N/A</definedName>
    <definedName name="Slicer_Status">#N/A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6" i="1" l="1"/>
  <c r="F4" i="1"/>
  <c r="G4" i="1" s="1"/>
  <c r="F5" i="1"/>
  <c r="G5" i="1" s="1"/>
  <c r="F6" i="1"/>
  <c r="F7" i="1"/>
  <c r="G7" i="1" s="1"/>
  <c r="F8" i="1"/>
  <c r="G8" i="1" s="1"/>
  <c r="F3" i="1"/>
  <c r="G3" i="1" s="1"/>
  <c r="I8" i="1"/>
  <c r="H8" i="1"/>
  <c r="E8" i="1"/>
  <c r="E6" i="1" l="1"/>
  <c r="H6" i="1"/>
  <c r="I6" i="1"/>
  <c r="E7" i="1" l="1"/>
  <c r="E5" i="1"/>
  <c r="H5" i="1"/>
  <c r="I5" i="1"/>
  <c r="I3" i="1"/>
  <c r="I4" i="1"/>
  <c r="I7" i="1"/>
  <c r="I2" i="1"/>
  <c r="H2" i="1"/>
  <c r="H3" i="1"/>
  <c r="H4" i="1"/>
  <c r="H7" i="1"/>
  <c r="F2" i="1" l="1"/>
  <c r="G2" i="1" s="1"/>
  <c r="E2" i="1"/>
  <c r="E3" i="1"/>
  <c r="E4" i="1"/>
</calcChain>
</file>

<file path=xl/sharedStrings.xml><?xml version="1.0" encoding="utf-8"?>
<sst xmlns="http://schemas.openxmlformats.org/spreadsheetml/2006/main" count="62" uniqueCount="35">
  <si>
    <t>txn id</t>
  </si>
  <si>
    <t>Student id</t>
  </si>
  <si>
    <t>amount</t>
  </si>
  <si>
    <t>date</t>
  </si>
  <si>
    <t>TXN101</t>
  </si>
  <si>
    <t>TXN102</t>
  </si>
  <si>
    <t>TXN103</t>
  </si>
  <si>
    <t>TXN104</t>
  </si>
  <si>
    <t>S001</t>
  </si>
  <si>
    <t>S002</t>
  </si>
  <si>
    <t>S003</t>
  </si>
  <si>
    <t>S004</t>
  </si>
  <si>
    <t>status</t>
  </si>
  <si>
    <t>Paid</t>
  </si>
  <si>
    <t>Pending</t>
  </si>
  <si>
    <t>Match/Mismatch</t>
  </si>
  <si>
    <t>Month</t>
  </si>
  <si>
    <t>Row Labels</t>
  </si>
  <si>
    <t>Grand Total</t>
  </si>
  <si>
    <t>Sum of amount</t>
  </si>
  <si>
    <t>Status</t>
  </si>
  <si>
    <t>Success</t>
  </si>
  <si>
    <t>Count of txn id</t>
  </si>
  <si>
    <t>Revenue Type</t>
  </si>
  <si>
    <t>Bucket</t>
  </si>
  <si>
    <t>Low</t>
  </si>
  <si>
    <t>Medium</t>
  </si>
  <si>
    <t>TXN105</t>
  </si>
  <si>
    <t>S005</t>
  </si>
  <si>
    <t>Student Fee Reconcilation Dashboard</t>
  </si>
  <si>
    <t>TXN106</t>
  </si>
  <si>
    <t>TXN107</t>
  </si>
  <si>
    <t>S006</t>
  </si>
  <si>
    <t>S007</t>
  </si>
  <si>
    <t>Mar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</si>
</sst>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8"/>
      <color theme="0"/>
      <name val="Calibri"/>
      <family val="2"/>
      <scheme val="minor"/>
    </font>
    <font>
      <b/>
      <sz val="18"/>
      <color theme="0"/>
      <name val="Calibri"/>
      <family val="2"/>
      <scheme val="minor"/>
    </font>
  </fonts>
  <fills count="3">
    <fill>
      <patternFill patternType="none"/>
    </fill>
    <fill>
      <patternFill patternType="gray125"/>
    </fill>
    <fill>
      <patternFill patternType="solid">
        <fgColor rgb="FF00206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1" xfId="0" applyBorder="1"/>
    <xf numFmtId="16"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 fontId="0" fillId="0" borderId="8" xfId="0" applyNumberFormat="1"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0" borderId="0" xfId="0" applyBorder="1"/>
    <xf numFmtId="16" fontId="0" fillId="0" borderId="0" xfId="0" applyNumberFormat="1" applyBorder="1"/>
    <xf numFmtId="0" fontId="1" fillId="2" borderId="0" xfId="0" applyFont="1" applyFill="1" applyAlignment="1"/>
    <xf numFmtId="0" fontId="2" fillId="2" borderId="0" xfId="0" applyFont="1" applyFill="1" applyAlignment="1">
      <alignment horizontal="center"/>
    </xf>
  </cellXfs>
  <cellStyles count="1">
    <cellStyle name="Normal" xfId="0" builtinId="0"/>
  </cellStyles>
  <dxfs count="13">
    <dxf>
      <numFmt numFmtId="0" formatCode="General"/>
    </dxf>
    <dxf>
      <numFmt numFmtId="0" formatCode="General"/>
    </dxf>
    <dxf>
      <numFmt numFmtId="0" formatCode="General"/>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21" formatCode="d\-mmm"/>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[MMHApu Project.xlsx]Status_Pivot!PivotTable3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solidFill>
            <a:schemeClr val="accent6"/>
          </a:solidFill>
          <a:ln w="19050">
            <a:solidFill>
              <a:schemeClr val="lt1"/>
            </a:solidFill>
          </a:ln>
          <a:effectLst/>
        </c:spPr>
      </c:pivotFmt>
    </c:pivotFmts>
    <c:plotArea>
      <c:layout/>
      <c:pieChart>
        <c:varyColors val="1"/>
        <c:ser>
          <c:idx val="0"/>
          <c:order val="0"/>
          <c:tx>
            <c:strRef>
              <c:f>Status_Pivot!$B$3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Status_Pivot!$A$4:$A$5</c:f>
              <c:strCache>
                <c:ptCount val="1"/>
                <c:pt idx="0">
                  <c:v>Success</c:v>
                </c:pt>
              </c:strCache>
            </c:strRef>
          </c:cat>
          <c:val>
            <c:numRef>
              <c:f>Status_Pivot!$B$4:$B$5</c:f>
              <c:numCache>
                <c:formatCode>General</c:formatCode>
                <c:ptCount val="1"/>
                <c:pt idx="0">
                  <c:v>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[MMHApu Project.xlsx]Bucket_Pivot!PivotTable3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Amount Bucket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Bucket_Pivot!$B$3</c:f>
              <c:strCache>
                <c:ptCount val="1"/>
                <c:pt idx="0">
                  <c:v>Total</c:v>
                </c:pt>
              </c:strCache>
            </c:strRef>
          </c:tx>
          <c:spPr>
            <a:solidFill>
              <a:schemeClr val="accent1"/>
            </a:solidFill>
            <a:ln>
              <a:noFill/>
            </a:ln>
            <a:effectLst/>
          </c:spPr>
          <c:invertIfNegative val="0"/>
          <c:cat>
            <c:strRef>
              <c:f>Bucket_Pivot!$A$4:$A$6</c:f>
              <c:strCache>
                <c:ptCount val="2"/>
                <c:pt idx="0">
                  <c:v>Low</c:v>
                </c:pt>
                <c:pt idx="1">
                  <c:v>Medium</c:v>
                </c:pt>
              </c:strCache>
            </c:strRef>
          </c:cat>
          <c:val>
            <c:numRef>
              <c:f>Bucket_Pivot!$B$4:$B$6</c:f>
              <c:numCache>
                <c:formatCode>General</c:formatCode>
                <c:ptCount val="2"/>
                <c:pt idx="0">
                  <c:v>200</c:v>
                </c:pt>
                <c:pt idx="1">
                  <c:v>2300</c:v>
                </c:pt>
              </c:numCache>
            </c:numRef>
          </c:val>
        </c:ser>
        <c:dLbls>
          <c:showLegendKey val="0"/>
          <c:showVal val="0"/>
          <c:showCatName val="0"/>
          <c:showSerName val="0"/>
          <c:showPercent val="0"/>
          <c:showBubbleSize val="0"/>
        </c:dLbls>
        <c:gapWidth val="219"/>
        <c:overlap val="-27"/>
        <c:axId val="264279056"/>
        <c:axId val="264279440"/>
      </c:barChart>
      <c:catAx>
        <c:axId val="26427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79440"/>
        <c:crosses val="autoZero"/>
        <c:auto val="1"/>
        <c:lblAlgn val="ctr"/>
        <c:lblOffset val="100"/>
        <c:noMultiLvlLbl val="0"/>
      </c:catAx>
      <c:valAx>
        <c:axId val="26427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79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[MMHApu Project.xlsx]Monthly_Pivot!PivotTable1</c:name>
    <c:fmtId val="2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Monthly_Pivot!$B$3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Monthly_Pivot!$A$4:$A$5</c:f>
              <c:strCache>
                <c:ptCount val="1"/>
                <c:pt idx="0">
                  <c:v>Mar</c:v>
                </c:pt>
              </c:strCache>
            </c:strRef>
          </c:cat>
          <c:val>
            <c:numRef>
              <c:f>Monthly_Pivot!$B$4:$B$5</c:f>
              <c:numCache>
                <c:formatCode>General</c:formatCode>
                <c:ptCount val="1"/>
                <c:pt idx="0">
                  <c:v>2500</c:v>
                </c:pt>
              </c:numCache>
            </c:numRef>
          </c:val>
          <c:smooth val="0"/>
        </c:ser>
        <c:dLbls>
          <c:showLegendKey val="0"/>
          <c:showVal val="0"/>
          <c:showCatName val="0"/>
          <c:showSerName val="0"/>
          <c:showPercent val="0"/>
          <c:showBubbleSize val="0"/>
        </c:dLbls>
        <c:marker val="1"/>
        <c:smooth val="0"/>
        <c:axId val="264436136"/>
        <c:axId val="264485392"/>
      </c:lineChart>
      <c:catAx>
        <c:axId val="264436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85392"/>
        <c:crosses val="autoZero"/>
        <c:auto val="1"/>
        <c:lblAlgn val="ctr"/>
        <c:lblOffset val="100"/>
        <c:noMultiLvlLbl val="0"/>
      </c:catAx>
      <c:valAx>
        <c:axId val="26448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36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113799</xdr:rowOff>
    </xdr:from>
    <xdr:to>
      <xdr:col>1</xdr:col>
      <xdr:colOff>19050</xdr:colOff>
      <xdr:row>1</xdr:row>
      <xdr:rowOff>686300</xdr:rowOff>
    </xdr:to>
    <xdr:sp macro="" textlink="">
      <xdr:nvSpPr>
        <xdr:cNvPr id="2" name="Rectangle 1"/>
        <xdr:cNvSpPr/>
      </xdr:nvSpPr>
      <xdr:spPr>
        <a:xfrm>
          <a:off x="0" y="399549"/>
          <a:ext cx="3067050" cy="572501"/>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rgbClr val="FFC000"/>
              </a:solidFill>
            </a:rPr>
            <a:t>💰</a:t>
          </a:r>
          <a:r>
            <a:rPr lang="en-US" sz="1400" b="1"/>
            <a:t>Total Revenue</a:t>
          </a:r>
        </a:p>
        <a:p>
          <a:pPr algn="ctr"/>
          <a:r>
            <a:rPr lang="en-US" sz="1400" b="1"/>
            <a:t>	</a:t>
          </a:r>
        </a:p>
        <a:p>
          <a:pPr algn="ctr"/>
          <a:endParaRPr lang="en-US" sz="1400" b="1"/>
        </a:p>
      </xdr:txBody>
    </xdr:sp>
    <xdr:clientData/>
  </xdr:twoCellAnchor>
  <xdr:twoCellAnchor>
    <xdr:from>
      <xdr:col>1</xdr:col>
      <xdr:colOff>28575</xdr:colOff>
      <xdr:row>1</xdr:row>
      <xdr:rowOff>106643</xdr:rowOff>
    </xdr:from>
    <xdr:to>
      <xdr:col>2</xdr:col>
      <xdr:colOff>28575</xdr:colOff>
      <xdr:row>1</xdr:row>
      <xdr:rowOff>693457</xdr:rowOff>
    </xdr:to>
    <xdr:sp macro="" textlink="">
      <xdr:nvSpPr>
        <xdr:cNvPr id="3" name="Rectangle 2"/>
        <xdr:cNvSpPr/>
      </xdr:nvSpPr>
      <xdr:spPr>
        <a:xfrm>
          <a:off x="3076575" y="392393"/>
          <a:ext cx="3048000" cy="586814"/>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1">
                  <a:lumMod val="60000"/>
                  <a:lumOff val="40000"/>
                </a:schemeClr>
              </a:solidFill>
            </a:rPr>
            <a:t>📊</a:t>
          </a:r>
          <a:r>
            <a:rPr lang="en-US" sz="1400" b="1"/>
            <a:t> Total Transaction</a:t>
          </a:r>
        </a:p>
      </xdr:txBody>
    </xdr:sp>
    <xdr:clientData/>
  </xdr:twoCellAnchor>
  <xdr:twoCellAnchor>
    <xdr:from>
      <xdr:col>2</xdr:col>
      <xdr:colOff>38100</xdr:colOff>
      <xdr:row>1</xdr:row>
      <xdr:rowOff>116168</xdr:rowOff>
    </xdr:from>
    <xdr:to>
      <xdr:col>3</xdr:col>
      <xdr:colOff>38100</xdr:colOff>
      <xdr:row>1</xdr:row>
      <xdr:rowOff>702982</xdr:rowOff>
    </xdr:to>
    <xdr:sp macro="" textlink="">
      <xdr:nvSpPr>
        <xdr:cNvPr id="4" name="Rectangle 3"/>
        <xdr:cNvSpPr/>
      </xdr:nvSpPr>
      <xdr:spPr>
        <a:xfrm>
          <a:off x="6134100" y="401918"/>
          <a:ext cx="3048000" cy="586814"/>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B050"/>
              </a:solidFill>
            </a:rPr>
            <a:t>✅ </a:t>
          </a:r>
          <a:r>
            <a:rPr lang="en-US" sz="1400" b="1"/>
            <a:t>Success</a:t>
          </a:r>
        </a:p>
      </xdr:txBody>
    </xdr:sp>
    <xdr:clientData/>
  </xdr:twoCellAnchor>
  <xdr:twoCellAnchor>
    <xdr:from>
      <xdr:col>3</xdr:col>
      <xdr:colOff>47625</xdr:colOff>
      <xdr:row>1</xdr:row>
      <xdr:rowOff>116168</xdr:rowOff>
    </xdr:from>
    <xdr:to>
      <xdr:col>3</xdr:col>
      <xdr:colOff>3114675</xdr:colOff>
      <xdr:row>1</xdr:row>
      <xdr:rowOff>702982</xdr:rowOff>
    </xdr:to>
    <xdr:sp macro="" textlink="">
      <xdr:nvSpPr>
        <xdr:cNvPr id="5" name="Rectangle 4"/>
        <xdr:cNvSpPr/>
      </xdr:nvSpPr>
      <xdr:spPr>
        <a:xfrm>
          <a:off x="9191625" y="401918"/>
          <a:ext cx="3067050" cy="586814"/>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FF0000"/>
              </a:solidFill>
            </a:rPr>
            <a:t>❎ </a:t>
          </a:r>
          <a:r>
            <a:rPr lang="en-US" sz="1400" b="1"/>
            <a:t>Failed</a:t>
          </a:r>
        </a:p>
      </xdr:txBody>
    </xdr:sp>
    <xdr:clientData/>
  </xdr:twoCellAnchor>
  <xdr:twoCellAnchor>
    <xdr:from>
      <xdr:col>0</xdr:col>
      <xdr:colOff>0</xdr:colOff>
      <xdr:row>1</xdr:row>
      <xdr:rowOff>733174</xdr:rowOff>
    </xdr:from>
    <xdr:to>
      <xdr:col>1</xdr:col>
      <xdr:colOff>0</xdr:colOff>
      <xdr:row>2</xdr:row>
      <xdr:rowOff>419351</xdr:rowOff>
    </xdr:to>
    <xdr:sp macro="" textlink="E13">
      <xdr:nvSpPr>
        <xdr:cNvPr id="6" name="Rectangle 5"/>
        <xdr:cNvSpPr/>
      </xdr:nvSpPr>
      <xdr:spPr>
        <a:xfrm>
          <a:off x="0" y="1018924"/>
          <a:ext cx="3048000" cy="467227"/>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38C390A-2BEA-40D0-8922-9FEDCFC96EB5}" type="TxLink">
            <a:rPr lang="en-US" sz="1200" b="1" i="0" u="none" strike="noStrike">
              <a:solidFill>
                <a:srgbClr val="000000"/>
              </a:solidFill>
              <a:latin typeface="Calibri"/>
              <a:cs typeface="Calibri"/>
            </a:rPr>
            <a:pPr algn="ctr"/>
            <a:t> </a:t>
          </a:fld>
          <a:endParaRPr lang="en-US" sz="1200" b="1"/>
        </a:p>
      </xdr:txBody>
    </xdr:sp>
    <xdr:clientData/>
  </xdr:twoCellAnchor>
  <xdr:twoCellAnchor>
    <xdr:from>
      <xdr:col>1</xdr:col>
      <xdr:colOff>19050</xdr:colOff>
      <xdr:row>1</xdr:row>
      <xdr:rowOff>731369</xdr:rowOff>
    </xdr:from>
    <xdr:to>
      <xdr:col>2</xdr:col>
      <xdr:colOff>9525</xdr:colOff>
      <xdr:row>2</xdr:row>
      <xdr:rowOff>411633</xdr:rowOff>
    </xdr:to>
    <xdr:sp macro="" textlink="E14">
      <xdr:nvSpPr>
        <xdr:cNvPr id="7" name="Rectangle 6"/>
        <xdr:cNvSpPr/>
      </xdr:nvSpPr>
      <xdr:spPr>
        <a:xfrm>
          <a:off x="3067050" y="1017119"/>
          <a:ext cx="3038475" cy="461314"/>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B195DDB-6DFB-4F13-9792-7E36D4F73BDB}" type="TxLink">
            <a:rPr lang="en-US" sz="1200" b="1" i="0" u="none" strike="noStrike">
              <a:solidFill>
                <a:srgbClr val="000000"/>
              </a:solidFill>
              <a:latin typeface="Calibri"/>
              <a:cs typeface="Calibri"/>
            </a:rPr>
            <a:pPr algn="ctr"/>
            <a:t> </a:t>
          </a:fld>
          <a:endParaRPr lang="en-US" sz="1200" b="1"/>
        </a:p>
      </xdr:txBody>
    </xdr:sp>
    <xdr:clientData/>
  </xdr:twoCellAnchor>
  <xdr:twoCellAnchor>
    <xdr:from>
      <xdr:col>2</xdr:col>
      <xdr:colOff>38100</xdr:colOff>
      <xdr:row>1</xdr:row>
      <xdr:rowOff>739088</xdr:rowOff>
    </xdr:from>
    <xdr:to>
      <xdr:col>3</xdr:col>
      <xdr:colOff>38100</xdr:colOff>
      <xdr:row>2</xdr:row>
      <xdr:rowOff>413437</xdr:rowOff>
    </xdr:to>
    <xdr:sp macro="" textlink="E15">
      <xdr:nvSpPr>
        <xdr:cNvPr id="8" name="Rectangle 7"/>
        <xdr:cNvSpPr/>
      </xdr:nvSpPr>
      <xdr:spPr>
        <a:xfrm>
          <a:off x="6134100" y="1024838"/>
          <a:ext cx="3048000" cy="45539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FAEFC53-C4D6-4381-947E-2EEBA2934CEE}" type="TxLink">
            <a:rPr lang="en-US" sz="1200" b="1" i="0" u="none" strike="noStrike">
              <a:solidFill>
                <a:srgbClr val="000000"/>
              </a:solidFill>
              <a:latin typeface="Calibri"/>
              <a:cs typeface="Calibri"/>
            </a:rPr>
            <a:pPr algn="ctr"/>
            <a:t> </a:t>
          </a:fld>
          <a:endParaRPr lang="en-US" sz="1200" b="1"/>
        </a:p>
      </xdr:txBody>
    </xdr:sp>
    <xdr:clientData/>
  </xdr:twoCellAnchor>
  <xdr:twoCellAnchor>
    <xdr:from>
      <xdr:col>3</xdr:col>
      <xdr:colOff>57151</xdr:colOff>
      <xdr:row>1</xdr:row>
      <xdr:rowOff>731369</xdr:rowOff>
    </xdr:from>
    <xdr:to>
      <xdr:col>3</xdr:col>
      <xdr:colOff>3105151</xdr:colOff>
      <xdr:row>2</xdr:row>
      <xdr:rowOff>411633</xdr:rowOff>
    </xdr:to>
    <xdr:sp macro="" textlink="E16">
      <xdr:nvSpPr>
        <xdr:cNvPr id="9" name="Rectangle 8"/>
        <xdr:cNvSpPr/>
      </xdr:nvSpPr>
      <xdr:spPr>
        <a:xfrm>
          <a:off x="9201151" y="1017119"/>
          <a:ext cx="3048000" cy="461314"/>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59BE36C-DD92-414A-BA25-0A5363AC41AD}" type="TxLink">
            <a:rPr lang="en-US" sz="1200" b="1" i="0" u="none" strike="noStrike">
              <a:solidFill>
                <a:srgbClr val="000000"/>
              </a:solidFill>
              <a:latin typeface="Calibri"/>
              <a:cs typeface="Calibri"/>
            </a:rPr>
            <a:pPr algn="ctr"/>
            <a:t> </a:t>
          </a:fld>
          <a:endParaRPr lang="en-US" sz="1200" b="1"/>
        </a:p>
      </xdr:txBody>
    </xdr:sp>
    <xdr:clientData/>
  </xdr:twoCellAnchor>
  <xdr:twoCellAnchor>
    <xdr:from>
      <xdr:col>0</xdr:col>
      <xdr:colOff>3019425</xdr:colOff>
      <xdr:row>2</xdr:row>
      <xdr:rowOff>438151</xdr:rowOff>
    </xdr:from>
    <xdr:to>
      <xdr:col>1</xdr:col>
      <xdr:colOff>2657475</xdr:colOff>
      <xdr:row>10</xdr:row>
      <xdr:rowOff>66676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2676526</xdr:colOff>
      <xdr:row>2</xdr:row>
      <xdr:rowOff>447674</xdr:rowOff>
    </xdr:from>
    <xdr:to>
      <xdr:col>3</xdr:col>
      <xdr:colOff>1362075</xdr:colOff>
      <xdr:row>16</xdr:row>
      <xdr:rowOff>123825</xdr:rowOff>
    </xdr:to>
    <mc:AlternateContent xmlns:mc="http://schemas.openxmlformats.org/markup-compatibility/2006" xmlns:a14="http://schemas.microsoft.com/office/drawing/2010/main">
      <mc:Choice Requires="a14">
        <xdr:graphicFrame macro="">
          <xdr:nvGraphicFramePr>
            <xdr:cNvPr id="11" name="amount 3"/>
            <xdr:cNvGraphicFramePr/>
          </xdr:nvGraphicFramePr>
          <xdr:xfrm>
            <a:off x="0" y="0"/>
            <a:ext cx="0" cy="0"/>
          </xdr:xfrm>
          <a:graphic>
            <a:graphicData uri="http://schemas.microsoft.com/office/drawing/2010/slicer">
              <sle:slicer xmlns:sle="http://schemas.microsoft.com/office/drawing/2010/slicer" name="amount 3"/>
            </a:graphicData>
          </a:graphic>
        </xdr:graphicFrame>
      </mc:Choice>
      <mc:Fallback xmlns="">
        <xdr:sp macro="" textlink="">
          <xdr:nvSpPr>
            <xdr:cNvPr id="0" name=""/>
            <xdr:cNvSpPr>
              <a:spLocks noTextEdit="1"/>
            </xdr:cNvSpPr>
          </xdr:nvSpPr>
          <xdr:spPr>
            <a:xfrm>
              <a:off x="8772526" y="1516591"/>
              <a:ext cx="1733549" cy="294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2667001</xdr:colOff>
      <xdr:row>2</xdr:row>
      <xdr:rowOff>438147</xdr:rowOff>
    </xdr:from>
    <xdr:to>
      <xdr:col>2</xdr:col>
      <xdr:colOff>2667000</xdr:colOff>
      <xdr:row>16</xdr:row>
      <xdr:rowOff>114299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1371600</xdr:colOff>
      <xdr:row>2</xdr:row>
      <xdr:rowOff>447674</xdr:rowOff>
    </xdr:from>
    <xdr:to>
      <xdr:col>4</xdr:col>
      <xdr:colOff>9525</xdr:colOff>
      <xdr:row>16</xdr:row>
      <xdr:rowOff>104775</xdr:rowOff>
    </xdr:to>
    <mc:AlternateContent xmlns:mc="http://schemas.openxmlformats.org/markup-compatibility/2006" xmlns:a14="http://schemas.microsoft.com/office/drawing/2010/main">
      <mc:Choice Requires="a14">
        <xdr:graphicFrame macro="">
          <xdr:nvGraphicFramePr>
            <xdr:cNvPr id="14" name="Month 3"/>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515600" y="1516591"/>
              <a:ext cx="1760008" cy="2927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3019424</xdr:colOff>
      <xdr:row>10</xdr:row>
      <xdr:rowOff>76201</xdr:rowOff>
    </xdr:from>
    <xdr:to>
      <xdr:col>1</xdr:col>
      <xdr:colOff>2676525</xdr:colOff>
      <xdr:row>16</xdr:row>
      <xdr:rowOff>123825</xdr:rowOff>
    </xdr:to>
    <mc:AlternateContent xmlns:mc="http://schemas.openxmlformats.org/markup-compatibility/2006" xmlns:a14="http://schemas.microsoft.com/office/drawing/2010/main">
      <mc:Choice Requires="a14">
        <xdr:graphicFrame macro="">
          <xdr:nvGraphicFramePr>
            <xdr:cNvPr id="15" name="Status 7"/>
            <xdr:cNvGraphicFramePr/>
          </xdr:nvGraphicFramePr>
          <xdr:xfrm>
            <a:off x="0" y="0"/>
            <a:ext cx="0" cy="0"/>
          </xdr:xfrm>
          <a:graphic>
            <a:graphicData uri="http://schemas.microsoft.com/office/drawing/2010/slicer">
              <sle:slicer xmlns:sle="http://schemas.microsoft.com/office/drawing/2010/slicer" name="Status 7"/>
            </a:graphicData>
          </a:graphic>
        </xdr:graphicFrame>
      </mc:Choice>
      <mc:Fallback xmlns="">
        <xdr:sp macro="" textlink="">
          <xdr:nvSpPr>
            <xdr:cNvPr id="0" name=""/>
            <xdr:cNvSpPr>
              <a:spLocks noTextEdit="1"/>
            </xdr:cNvSpPr>
          </xdr:nvSpPr>
          <xdr:spPr>
            <a:xfrm>
              <a:off x="3019424" y="3272368"/>
              <a:ext cx="2705101"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19051</xdr:colOff>
      <xdr:row>10</xdr:row>
      <xdr:rowOff>76200</xdr:rowOff>
    </xdr:from>
    <xdr:to>
      <xdr:col>0</xdr:col>
      <xdr:colOff>3009901</xdr:colOff>
      <xdr:row>16</xdr:row>
      <xdr:rowOff>133350</xdr:rowOff>
    </xdr:to>
    <mc:AlternateContent xmlns:mc="http://schemas.openxmlformats.org/markup-compatibility/2006" xmlns:a14="http://schemas.microsoft.com/office/drawing/2010/main">
      <mc:Choice Requires="a14">
        <xdr:graphicFrame macro="">
          <xdr:nvGraphicFramePr>
            <xdr:cNvPr id="16" name="Bucket 3"/>
            <xdr:cNvGraphicFramePr/>
          </xdr:nvGraphicFramePr>
          <xdr:xfrm>
            <a:off x="0" y="0"/>
            <a:ext cx="0" cy="0"/>
          </xdr:xfrm>
          <a:graphic>
            <a:graphicData uri="http://schemas.microsoft.com/office/drawing/2010/slicer">
              <sle:slicer xmlns:sle="http://schemas.microsoft.com/office/drawing/2010/slicer" name="Bucket 3"/>
            </a:graphicData>
          </a:graphic>
        </xdr:graphicFrame>
      </mc:Choice>
      <mc:Fallback xmlns="">
        <xdr:sp macro="" textlink="">
          <xdr:nvSpPr>
            <xdr:cNvPr id="0" name=""/>
            <xdr:cNvSpPr>
              <a:spLocks noTextEdit="1"/>
            </xdr:cNvSpPr>
          </xdr:nvSpPr>
          <xdr:spPr>
            <a:xfrm>
              <a:off x="19051" y="3272367"/>
              <a:ext cx="299085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19051</xdr:colOff>
      <xdr:row>2</xdr:row>
      <xdr:rowOff>447676</xdr:rowOff>
    </xdr:from>
    <xdr:to>
      <xdr:col>0</xdr:col>
      <xdr:colOff>3000375</xdr:colOff>
      <xdr:row>10</xdr:row>
      <xdr:rowOff>66675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DELL\Desktop\mmhau%20Data%20Analyst%20Project\MMHApu%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44.938396527781" createdVersion="5" refreshedVersion="5" minRefreshableVersion="3" recordCount="7">
  <cacheSource type="worksheet">
    <worksheetSource name="Table1" r:id="rId2"/>
  </cacheSource>
  <cacheFields count="9">
    <cacheField name="txn id" numFmtId="0">
      <sharedItems/>
    </cacheField>
    <cacheField name="Student id" numFmtId="0">
      <sharedItems/>
    </cacheField>
    <cacheField name="amount" numFmtId="0">
      <sharedItems containsSemiMixedTypes="0" containsString="0" containsNumber="1" containsInteger="1" minValue="200" maxValue="7000" count="7">
        <n v="5000"/>
        <n v="7000"/>
        <n v="600"/>
        <n v="2100"/>
        <n v="2300"/>
        <n v="200"/>
        <n v="1100"/>
      </sharedItems>
    </cacheField>
    <cacheField name="date" numFmtId="16">
      <sharedItems containsSemiMixedTypes="0" containsNonDate="0" containsDate="1" containsString="0" minDate="2026-01-01T00:00:00" maxDate="2026-03-03T00:00:00"/>
    </cacheField>
    <cacheField name="Month" numFmtId="0">
      <sharedItems count="3">
        <s v="Jan"/>
        <s v="Mar"/>
        <s v="Feb"/>
      </sharedItems>
    </cacheField>
    <cacheField name="Match/Mismatch" numFmtId="0">
      <sharedItems/>
    </cacheField>
    <cacheField name="Status" numFmtId="0">
      <sharedItems count="2">
        <s v="Success"/>
        <s v="Failed"/>
      </sharedItems>
    </cacheField>
    <cacheField name="Revenue Type" numFmtId="0">
      <sharedItems/>
    </cacheField>
    <cacheField name="Bucket" numFmtId="0">
      <sharedItems count="3">
        <s v="Medium"/>
        <s v="High"/>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
  <r>
    <s v="TXN101"/>
    <s v="S001"/>
    <x v="0"/>
    <d v="2026-01-01T00:00:00"/>
    <x v="0"/>
    <s v="match"/>
    <x v="0"/>
    <s v="Not Collected"/>
    <x v="0"/>
  </r>
  <r>
    <s v="TXN102"/>
    <s v="S002"/>
    <x v="1"/>
    <d v="2026-01-01T00:00:00"/>
    <x v="0"/>
    <s v="Mismatch"/>
    <x v="1"/>
    <s v="Not Collected"/>
    <x v="1"/>
  </r>
  <r>
    <s v="TXN103"/>
    <s v="S003"/>
    <x v="2"/>
    <d v="2026-01-15T00:00:00"/>
    <x v="0"/>
    <s v="match"/>
    <x v="0"/>
    <s v="Not Collected"/>
    <x v="2"/>
  </r>
  <r>
    <s v="TXN104"/>
    <s v="S004"/>
    <x v="3"/>
    <d v="2026-01-21T00:00:00"/>
    <x v="0"/>
    <s v="match"/>
    <x v="0"/>
    <s v="Not Collected"/>
    <x v="0"/>
  </r>
  <r>
    <s v="TXN105"/>
    <s v="S005"/>
    <x v="4"/>
    <d v="2026-03-02T00:00:00"/>
    <x v="1"/>
    <s v="match"/>
    <x v="0"/>
    <s v="Not Collected"/>
    <x v="0"/>
  </r>
  <r>
    <s v="TXN106"/>
    <s v="S006"/>
    <x v="5"/>
    <d v="2026-03-02T00:00:00"/>
    <x v="1"/>
    <s v="match"/>
    <x v="0"/>
    <s v="Not Collected"/>
    <x v="2"/>
  </r>
  <r>
    <s v="TXN107"/>
    <s v="S007"/>
    <x v="6"/>
    <d v="2026-02-02T00:00:00"/>
    <x v="2"/>
    <s v="Mismatch"/>
    <x v="1"/>
    <s v="Not Collecte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3:B5" firstHeaderRow="1" firstDataRow="1" firstDataCol="1"/>
  <pivotFields count="9">
    <pivotField dataField="1" showAll="0"/>
    <pivotField showAll="0"/>
    <pivotField showAll="0"/>
    <pivotField numFmtId="16" showAll="0"/>
    <pivotField showAll="0">
      <items count="4">
        <item h="1" x="0"/>
        <item h="1" x="2"/>
        <item x="1"/>
        <item t="default"/>
      </items>
    </pivotField>
    <pivotField showAll="0"/>
    <pivotField axis="axisRow" showAll="0" defaultSubtotal="0">
      <items count="2">
        <item x="1"/>
        <item x="0"/>
      </items>
    </pivotField>
    <pivotField showAll="0" defaultSubtotal="0"/>
    <pivotField showAll="0" defaultSubtotal="0"/>
  </pivotFields>
  <rowFields count="1">
    <field x="6"/>
  </rowFields>
  <rowItems count="2">
    <i>
      <x v="1"/>
    </i>
    <i t="grand">
      <x/>
    </i>
  </rowItems>
  <colItems count="1">
    <i/>
  </colItems>
  <dataFields count="1">
    <dataField name="Count of txn 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0"/>
          </reference>
        </references>
      </pivotArea>
    </chartFormat>
    <chartFormat chart="5" format="4">
      <pivotArea type="data" outline="0" fieldPosition="0">
        <references count="2">
          <reference field="4294967294" count="1" selected="0">
            <x v="0"/>
          </reference>
          <reference field="6" count="1" selected="0">
            <x v="1"/>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B6" firstHeaderRow="1" firstDataRow="1" firstDataCol="1"/>
  <pivotFields count="9">
    <pivotField showAll="0"/>
    <pivotField showAll="0"/>
    <pivotField dataField="1" showAll="0"/>
    <pivotField numFmtId="16" showAll="0"/>
    <pivotField showAll="0">
      <items count="4">
        <item h="1" x="0"/>
        <item h="1" x="2"/>
        <item x="1"/>
        <item t="default"/>
      </items>
    </pivotField>
    <pivotField showAll="0"/>
    <pivotField showAll="0">
      <items count="3">
        <item x="1"/>
        <item x="0"/>
        <item t="default"/>
      </items>
    </pivotField>
    <pivotField showAll="0" defaultSubtotal="0"/>
    <pivotField axis="axisRow" showAll="0" defaultSubtotal="0">
      <items count="3">
        <item x="1"/>
        <item x="2"/>
        <item x="0"/>
      </items>
    </pivotField>
  </pivotFields>
  <rowFields count="1">
    <field x="8"/>
  </rowFields>
  <rowItems count="3">
    <i>
      <x v="1"/>
    </i>
    <i>
      <x v="2"/>
    </i>
    <i t="grand">
      <x/>
    </i>
  </rowItems>
  <colItems count="1">
    <i/>
  </colItems>
  <dataFields count="1">
    <dataField name="Sum of amount" fld="2" baseField="0" baseItem="0"/>
  </dataFields>
  <chartFormats count="1">
    <chartFormat chart="24"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B5" firstHeaderRow="1" firstDataRow="1" firstDataCol="1"/>
  <pivotFields count="9">
    <pivotField showAll="0"/>
    <pivotField showAll="0"/>
    <pivotField dataField="1" showAll="0"/>
    <pivotField numFmtId="16" showAll="0"/>
    <pivotField axis="axisRow" showAll="0">
      <items count="4">
        <item h="1" x="0"/>
        <item h="1" x="2"/>
        <item x="1"/>
        <item t="default"/>
      </items>
    </pivotField>
    <pivotField showAll="0"/>
    <pivotField showAll="0"/>
    <pivotField showAll="0"/>
    <pivotField showAll="0"/>
  </pivotFields>
  <rowFields count="1">
    <field x="4"/>
  </rowFields>
  <rowItems count="2">
    <i>
      <x v="2"/>
    </i>
    <i t="grand">
      <x/>
    </i>
  </rowItems>
  <colItems count="1">
    <i/>
  </colItems>
  <dataFields count="1">
    <dataField name="Sum of amount" fld="2" baseField="0" baseItem="0"/>
  </dataFields>
  <chartFormats count="1">
    <chartFormat chart="24"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mount" sourceName="amount">
  <data>
    <tabular pivotCacheId="1">
      <items count="7">
        <i x="5" s="1"/>
        <i x="2" s="1"/>
        <i x="6"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6" name="PivotTable3"/>
    <pivotTable tabId="9" name="PivotTable3"/>
  </pivotTables>
  <data>
    <tabular pivotCacheId="1">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3"/>
    <pivotTable tabId="6" name="PivotTable3"/>
  </pivotTables>
  <data>
    <tabular pivotCacheId="1">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ucket" sourceName="Bucket">
  <data>
    <tabular pivotCacheId="1">
      <items count="3">
        <i x="1" s="1"/>
        <i x="2"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mount 3" cache="Slicer_amount" caption="amount" rowHeight="241300"/>
  <slicer name="Status 7" cache="Slicer_Status" caption="Status" rowHeight="241300"/>
  <slicer name="Month 3" cache="Slicer_Month" caption="Month" rowHeight="241300"/>
  <slicer name="Bucket 3" cache="Slicer_Bucket" caption="Bucket" rowHeight="241300"/>
</slicers>
</file>

<file path=xl/tables/table1.xml><?xml version="1.0" encoding="utf-8"?>
<table xmlns="http://schemas.openxmlformats.org/spreadsheetml/2006/main" id="1" name="Table1" displayName="Table1" ref="A1:I8" totalsRowShown="0" headerRowDxfId="12" headerRowBorderDxfId="11" tableBorderDxfId="10" totalsRowBorderDxfId="9">
  <autoFilter ref="A1:I8"/>
  <tableColumns count="9">
    <tableColumn id="1" name="txn id" dataDxfId="8"/>
    <tableColumn id="2" name="Student id" dataDxfId="7"/>
    <tableColumn id="3" name="amount" dataDxfId="6"/>
    <tableColumn id="4" name="date" dataDxfId="5"/>
    <tableColumn id="5" name="Month" dataDxfId="4">
      <calculatedColumnFormula>TEXT(Table1[[#This Row],[date]],"mmm")</calculatedColumnFormula>
    </tableColumn>
    <tableColumn id="6" name="Match/Mismatch" dataDxfId="3">
      <calculatedColumnFormula>IFERROR(IF(VLOOKUP(A2,internal!A:D,3,FALSE)=C2,"match","Mismatch"),"Not Found")</calculatedColumnFormula>
    </tableColumn>
    <tableColumn id="7" name="Status" dataDxfId="2">
      <calculatedColumnFormula>IF(F2="match","Success","Failed")</calculatedColumnFormula>
    </tableColumn>
    <tableColumn id="8" name="Revenue Type" dataDxfId="1">
      <calculatedColumnFormula>IF(D2="Success","Collected","Not Collected")</calculatedColumnFormula>
    </tableColumn>
    <tableColumn id="9" name="Bucket" dataDxfId="0">
      <calculatedColumnFormula>IF(C2&lt;1000,"Low",IF(C2&lt;=5000,"Medium","High"))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showGridLines="0" zoomScale="90" zoomScaleNormal="90" workbookViewId="0">
      <selection sqref="A1:E17"/>
    </sheetView>
  </sheetViews>
  <sheetFormatPr defaultRowHeight="15" x14ac:dyDescent="0.25"/>
  <cols>
    <col min="1" max="3" width="45.7109375" style="14" customWidth="1"/>
    <col min="4" max="4" width="46.85546875" style="14" customWidth="1"/>
    <col min="5" max="6" width="29.42578125" style="14" customWidth="1"/>
    <col min="7" max="16384" width="9.140625" style="14"/>
  </cols>
  <sheetData>
    <row r="1" spans="1:6" ht="22.5" customHeight="1" x14ac:dyDescent="0.35">
      <c r="A1" s="18" t="s">
        <v>29</v>
      </c>
      <c r="B1" s="18"/>
      <c r="C1" s="18"/>
      <c r="D1" s="18"/>
      <c r="E1" s="17"/>
      <c r="F1" s="17"/>
    </row>
    <row r="2" spans="1:6" ht="61.5" customHeight="1" x14ac:dyDescent="0.25"/>
    <row r="3" spans="1:6" ht="62.25" customHeight="1" x14ac:dyDescent="0.25"/>
  </sheetData>
  <mergeCells count="1">
    <mergeCell ref="A1:D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D10" sqref="D10"/>
    </sheetView>
  </sheetViews>
  <sheetFormatPr defaultRowHeight="15" x14ac:dyDescent="0.25"/>
  <cols>
    <col min="1" max="1" width="13.140625" bestFit="1" customWidth="1"/>
    <col min="2" max="2" width="14.140625" bestFit="1" customWidth="1"/>
  </cols>
  <sheetData>
    <row r="3" spans="1:2" x14ac:dyDescent="0.25">
      <c r="A3" s="11" t="s">
        <v>17</v>
      </c>
      <c r="B3" t="s">
        <v>22</v>
      </c>
    </row>
    <row r="4" spans="1:2" x14ac:dyDescent="0.25">
      <c r="A4" s="12" t="s">
        <v>21</v>
      </c>
      <c r="B4" s="13">
        <v>2</v>
      </c>
    </row>
    <row r="5" spans="1:2" x14ac:dyDescent="0.25">
      <c r="A5" s="12" t="s">
        <v>18</v>
      </c>
      <c r="B5" s="1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2" workbookViewId="0">
      <selection activeCell="B5" sqref="B5"/>
    </sheetView>
  </sheetViews>
  <sheetFormatPr defaultRowHeight="15" x14ac:dyDescent="0.25"/>
  <cols>
    <col min="1" max="1" width="13.140625" bestFit="1" customWidth="1"/>
    <col min="2" max="2" width="14.5703125" bestFit="1" customWidth="1"/>
  </cols>
  <sheetData>
    <row r="3" spans="1:2" x14ac:dyDescent="0.25">
      <c r="A3" s="11" t="s">
        <v>17</v>
      </c>
      <c r="B3" t="s">
        <v>19</v>
      </c>
    </row>
    <row r="4" spans="1:2" x14ac:dyDescent="0.25">
      <c r="A4" s="12" t="s">
        <v>25</v>
      </c>
      <c r="B4" s="13">
        <v>200</v>
      </c>
    </row>
    <row r="5" spans="1:2" x14ac:dyDescent="0.25">
      <c r="A5" s="12" t="s">
        <v>26</v>
      </c>
      <c r="B5" s="13">
        <v>2300</v>
      </c>
    </row>
    <row r="6" spans="1:2" x14ac:dyDescent="0.25">
      <c r="A6" s="12" t="s">
        <v>18</v>
      </c>
      <c r="B6" s="13">
        <v>2500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4" sqref="A4"/>
    </sheetView>
  </sheetViews>
  <sheetFormatPr defaultRowHeight="15" x14ac:dyDescent="0.25"/>
  <cols>
    <col min="1" max="1" width="13.140625" bestFit="1" customWidth="1"/>
    <col min="2" max="2" width="14.5703125" bestFit="1" customWidth="1"/>
  </cols>
  <sheetData>
    <row r="3" spans="1:2" x14ac:dyDescent="0.25">
      <c r="A3" s="11" t="s">
        <v>17</v>
      </c>
      <c r="B3" t="s">
        <v>19</v>
      </c>
    </row>
    <row r="4" spans="1:2" x14ac:dyDescent="0.25">
      <c r="A4" s="12" t="s">
        <v>34</v>
      </c>
      <c r="B4" s="13">
        <v>2500</v>
      </c>
    </row>
    <row r="5" spans="1:2" x14ac:dyDescent="0.25">
      <c r="A5" s="12" t="s">
        <v>18</v>
      </c>
      <c r="B5" s="13">
        <v>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tabSelected="1" workbookViewId="0">
      <selection sqref="A1:I8"/>
    </sheetView>
  </sheetViews>
  <sheetFormatPr defaultRowHeight="15" x14ac:dyDescent="0.25"/>
  <cols>
    <col min="2" max="2" width="12.28515625" customWidth="1"/>
    <col min="3" max="3" width="10" customWidth="1"/>
    <col min="5" max="5" width="11" customWidth="1"/>
    <col min="6" max="6" width="18.28515625" customWidth="1"/>
    <col min="8" max="8" width="16" bestFit="1" customWidth="1"/>
  </cols>
  <sheetData>
    <row r="1" spans="1:9" x14ac:dyDescent="0.25">
      <c r="A1" s="5" t="s">
        <v>0</v>
      </c>
      <c r="B1" s="6" t="s">
        <v>1</v>
      </c>
      <c r="C1" s="6" t="s">
        <v>2</v>
      </c>
      <c r="D1" s="6" t="s">
        <v>3</v>
      </c>
      <c r="E1" s="6" t="s">
        <v>16</v>
      </c>
      <c r="F1" s="7" t="s">
        <v>15</v>
      </c>
      <c r="G1" s="6" t="s">
        <v>20</v>
      </c>
      <c r="H1" s="6" t="s">
        <v>23</v>
      </c>
      <c r="I1" s="6" t="s">
        <v>24</v>
      </c>
    </row>
    <row r="2" spans="1:9" x14ac:dyDescent="0.25">
      <c r="A2" s="3" t="s">
        <v>4</v>
      </c>
      <c r="B2" s="1" t="s">
        <v>8</v>
      </c>
      <c r="C2" s="1">
        <v>5000</v>
      </c>
      <c r="D2" s="2">
        <v>46023</v>
      </c>
      <c r="E2" s="1" t="str">
        <f>TEXT(Table1[[#This Row],[date]],"mmm")</f>
        <v>Jan</v>
      </c>
      <c r="F2" s="4" t="str">
        <f>IFERROR(IF(VLOOKUP(A2,internal!A:D,3,FALSE)=C2,"match","Mismatch"),"Not Found")</f>
        <v>match</v>
      </c>
      <c r="G2" t="str">
        <f t="shared" ref="G2:G8" si="0">IF(F2="match","Success","Failed")</f>
        <v>Success</v>
      </c>
      <c r="H2" t="str">
        <f t="shared" ref="H2:H4" si="1">IF(D2="Success","Collected","Not Collected")</f>
        <v>Not Collected</v>
      </c>
      <c r="I2" t="str">
        <f>IF(C2&lt;1000,"Low",IF(C2&lt;=5000,"Medium","High"))</f>
        <v>Medium</v>
      </c>
    </row>
    <row r="3" spans="1:9" x14ac:dyDescent="0.25">
      <c r="A3" s="3" t="s">
        <v>5</v>
      </c>
      <c r="B3" s="1" t="s">
        <v>9</v>
      </c>
      <c r="C3" s="1">
        <v>7000</v>
      </c>
      <c r="D3" s="2">
        <v>46023</v>
      </c>
      <c r="E3" s="1" t="str">
        <f>TEXT(Table1[[#This Row],[date]],"mmm")</f>
        <v>Jan</v>
      </c>
      <c r="F3" s="4" t="str">
        <f>IFERROR(IF(VLOOKUP(A3,internal!A:D,3,FALSE)=C3,"match","Mismatch"),"Not Found")</f>
        <v>Mismatch</v>
      </c>
      <c r="G3" t="str">
        <f t="shared" si="0"/>
        <v>Failed</v>
      </c>
      <c r="H3" t="str">
        <f t="shared" si="1"/>
        <v>Not Collected</v>
      </c>
      <c r="I3" t="str">
        <f t="shared" ref="I3:I4" si="2">IF(C3&lt;1000,"Low",IF(C3&lt;=5000,"Medium","High"))</f>
        <v>High</v>
      </c>
    </row>
    <row r="4" spans="1:9" x14ac:dyDescent="0.25">
      <c r="A4" s="3" t="s">
        <v>6</v>
      </c>
      <c r="B4" s="1" t="s">
        <v>10</v>
      </c>
      <c r="C4" s="1">
        <v>600</v>
      </c>
      <c r="D4" s="2">
        <v>46037</v>
      </c>
      <c r="E4" s="1" t="str">
        <f>TEXT(Table1[[#This Row],[date]],"mmm")</f>
        <v>Jan</v>
      </c>
      <c r="F4" s="4" t="str">
        <f>IFERROR(IF(VLOOKUP(A4,internal!A:D,3,FALSE)=C4,"match","Mismatch"),"Not Found")</f>
        <v>match</v>
      </c>
      <c r="G4" t="str">
        <f t="shared" si="0"/>
        <v>Success</v>
      </c>
      <c r="H4" t="str">
        <f t="shared" si="1"/>
        <v>Not Collected</v>
      </c>
      <c r="I4" t="str">
        <f t="shared" si="2"/>
        <v>Low</v>
      </c>
    </row>
    <row r="5" spans="1:9" x14ac:dyDescent="0.25">
      <c r="A5" s="8" t="s">
        <v>7</v>
      </c>
      <c r="B5" s="9" t="s">
        <v>11</v>
      </c>
      <c r="C5" s="9">
        <v>2100</v>
      </c>
      <c r="D5" s="10">
        <v>46043</v>
      </c>
      <c r="E5" s="9" t="str">
        <f>TEXT(Table1[[#This Row],[date]],"mmm")</f>
        <v>Jan</v>
      </c>
      <c r="F5" s="4" t="str">
        <f>IFERROR(IF(VLOOKUP(A5,internal!A:D,3,FALSE)=C5,"match","Mismatch"),"Not Found")</f>
        <v>match</v>
      </c>
      <c r="G5" t="str">
        <f t="shared" si="0"/>
        <v>Success</v>
      </c>
      <c r="H5" t="str">
        <f>IF(D5="Success","Collected","Not Collected")</f>
        <v>Not Collected</v>
      </c>
      <c r="I5" t="str">
        <f>IF(C5&lt;1000,"Low",IF(C5&lt;=5000,"Medium","High"))</f>
        <v>Medium</v>
      </c>
    </row>
    <row r="6" spans="1:9" x14ac:dyDescent="0.25">
      <c r="A6" s="8" t="s">
        <v>27</v>
      </c>
      <c r="B6" s="9" t="s">
        <v>28</v>
      </c>
      <c r="C6" s="9">
        <v>2300</v>
      </c>
      <c r="D6" s="10">
        <v>46083</v>
      </c>
      <c r="E6" s="9" t="str">
        <f>TEXT(Table1[[#This Row],[date]],"mmm")</f>
        <v>Mar</v>
      </c>
      <c r="F6" s="4" t="str">
        <f>IFERROR(IF(VLOOKUP(A6,internal!A:D,3,FALSE)=C6,"match","Mismatch"),"Not Found")</f>
        <v>match</v>
      </c>
      <c r="G6" t="str">
        <f t="shared" si="0"/>
        <v>Success</v>
      </c>
      <c r="H6" t="str">
        <f>IF(D6="Success","Collected","Not Collected")</f>
        <v>Not Collected</v>
      </c>
      <c r="I6" t="str">
        <f>IF(C6&lt;1000,"Low",IF(C6&lt;=5000,"Medium","High"))</f>
        <v>Medium</v>
      </c>
    </row>
    <row r="7" spans="1:9" x14ac:dyDescent="0.25">
      <c r="A7" s="8" t="s">
        <v>30</v>
      </c>
      <c r="B7" s="9" t="s">
        <v>32</v>
      </c>
      <c r="C7" s="9">
        <v>200</v>
      </c>
      <c r="D7" s="10">
        <v>46083</v>
      </c>
      <c r="E7" s="9" t="str">
        <f>TEXT(Table1[[#This Row],[date]],"mmm")</f>
        <v>Mar</v>
      </c>
      <c r="F7" s="4" t="str">
        <f>IFERROR(IF(VLOOKUP(A7,internal!A:D,3,FALSE)=C7,"match","Mismatch"),"Not Found")</f>
        <v>match</v>
      </c>
      <c r="G7" t="str">
        <f t="shared" si="0"/>
        <v>Success</v>
      </c>
      <c r="H7" t="str">
        <f>IF(D7="Success","Collected","Not Collected")</f>
        <v>Not Collected</v>
      </c>
      <c r="I7" t="str">
        <f>IF(C7&lt;1000,"Low",IF(C7&lt;=5000,"Medium","High"))</f>
        <v>Low</v>
      </c>
    </row>
    <row r="8" spans="1:9" x14ac:dyDescent="0.25">
      <c r="A8" s="8" t="s">
        <v>31</v>
      </c>
      <c r="B8" s="9" t="s">
        <v>33</v>
      </c>
      <c r="C8" s="9">
        <v>1100</v>
      </c>
      <c r="D8" s="10">
        <v>46055</v>
      </c>
      <c r="E8" s="9" t="str">
        <f>TEXT(Table1[[#This Row],[date]],"mmm")</f>
        <v>Feb</v>
      </c>
      <c r="F8" s="4" t="str">
        <f>IFERROR(IF(VLOOKUP(A8,internal!A:D,3,FALSE)=C8,"match","Mismatch"),"Not Found")</f>
        <v>Mismatch</v>
      </c>
      <c r="G8" t="str">
        <f t="shared" si="0"/>
        <v>Failed</v>
      </c>
      <c r="H8" t="str">
        <f>IF(D8="Success","Collected","Not Collected")</f>
        <v>Not Collected</v>
      </c>
      <c r="I8" t="str">
        <f>IF(C8&lt;1000,"Low",IF(C8&lt;=5000,"Medium","High"))</f>
        <v>Medium</v>
      </c>
    </row>
    <row r="9" spans="1:9" x14ac:dyDescent="0.25">
      <c r="A9" s="15"/>
      <c r="B9" s="15"/>
      <c r="C9" s="15"/>
      <c r="D9" s="16"/>
      <c r="E9" s="15"/>
      <c r="F9" s="1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12" sqref="E12"/>
    </sheetView>
  </sheetViews>
  <sheetFormatPr defaultRowHeight="15" x14ac:dyDescent="0.25"/>
  <cols>
    <col min="2" max="2" width="10.140625" bestFit="1" customWidth="1"/>
  </cols>
  <sheetData>
    <row r="1" spans="1:4" x14ac:dyDescent="0.25">
      <c r="A1" s="1" t="s">
        <v>0</v>
      </c>
      <c r="B1" s="1" t="s">
        <v>1</v>
      </c>
      <c r="C1" s="1" t="s">
        <v>2</v>
      </c>
      <c r="D1" s="1" t="s">
        <v>12</v>
      </c>
    </row>
    <row r="2" spans="1:4" x14ac:dyDescent="0.25">
      <c r="A2" s="1" t="s">
        <v>4</v>
      </c>
      <c r="B2" s="1" t="s">
        <v>8</v>
      </c>
      <c r="C2" s="1">
        <v>5000</v>
      </c>
      <c r="D2" s="2" t="s">
        <v>13</v>
      </c>
    </row>
    <row r="3" spans="1:4" x14ac:dyDescent="0.25">
      <c r="A3" s="1" t="s">
        <v>5</v>
      </c>
      <c r="B3" s="1" t="s">
        <v>9</v>
      </c>
      <c r="C3" s="1">
        <v>0</v>
      </c>
      <c r="D3" s="2" t="s">
        <v>14</v>
      </c>
    </row>
    <row r="4" spans="1:4" x14ac:dyDescent="0.25">
      <c r="A4" s="1" t="s">
        <v>6</v>
      </c>
      <c r="B4" s="1" t="s">
        <v>10</v>
      </c>
      <c r="C4" s="1">
        <v>600</v>
      </c>
      <c r="D4" s="2" t="s">
        <v>13</v>
      </c>
    </row>
    <row r="5" spans="1:4" x14ac:dyDescent="0.25">
      <c r="A5" s="1" t="s">
        <v>7</v>
      </c>
      <c r="B5" s="1" t="s">
        <v>11</v>
      </c>
      <c r="C5" s="1">
        <v>2100</v>
      </c>
      <c r="D5" s="2" t="s">
        <v>13</v>
      </c>
    </row>
    <row r="6" spans="1:4" x14ac:dyDescent="0.25">
      <c r="A6" s="1" t="s">
        <v>27</v>
      </c>
      <c r="B6" s="1" t="s">
        <v>28</v>
      </c>
      <c r="C6" s="1">
        <v>2300</v>
      </c>
      <c r="D6" s="2" t="s">
        <v>13</v>
      </c>
    </row>
    <row r="7" spans="1:4" x14ac:dyDescent="0.25">
      <c r="A7" s="1" t="s">
        <v>30</v>
      </c>
      <c r="B7" s="1" t="s">
        <v>32</v>
      </c>
      <c r="C7" s="1">
        <v>200</v>
      </c>
      <c r="D7" s="2" t="s">
        <v>13</v>
      </c>
    </row>
    <row r="8" spans="1:4" x14ac:dyDescent="0.25">
      <c r="A8" s="1" t="s">
        <v>31</v>
      </c>
      <c r="B8" s="1" t="s">
        <v>33</v>
      </c>
      <c r="C8" s="1">
        <v>0</v>
      </c>
      <c r="D8"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Status_Pivot</vt:lpstr>
      <vt:lpstr>Bucket_Pivot</vt:lpstr>
      <vt:lpstr>Monthly_Pivot</vt:lpstr>
      <vt:lpstr>cc1</vt:lpstr>
      <vt:lpstr>internal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2026-05-04T16:39:46Z</dcterms:modified>
</cp:coreProperties>
</file>